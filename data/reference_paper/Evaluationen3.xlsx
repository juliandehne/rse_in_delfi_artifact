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hne\Desktop\"/>
    </mc:Choice>
  </mc:AlternateContent>
  <bookViews>
    <workbookView xWindow="0" yWindow="0" windowWidth="22800" windowHeight="8880"/>
  </bookViews>
  <sheets>
    <sheet name="Tabelle1" sheetId="1" r:id="rId1"/>
  </sheets>
  <definedNames>
    <definedName name="_xlnm._FilterDatabase" localSheetId="0" hidden="1">Tabelle1!$A$1:$O$84</definedName>
  </definedNames>
  <calcPr calcId="152511"/>
  <pivotCaches>
    <pivotCache cacheId="1" r:id="rId2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4" i="1" l="1"/>
  <c r="Q82" i="1"/>
  <c r="Q79" i="1"/>
  <c r="Q78" i="1"/>
  <c r="Q77" i="1"/>
  <c r="Q75" i="1"/>
  <c r="Q69" i="1"/>
  <c r="Q68" i="1"/>
  <c r="Q66" i="1"/>
  <c r="Q64" i="1"/>
  <c r="Q63" i="1"/>
  <c r="Q61" i="1"/>
  <c r="Q60" i="1"/>
  <c r="Q58" i="1"/>
  <c r="Q52" i="1"/>
  <c r="Q50" i="1"/>
  <c r="Q48" i="1"/>
  <c r="Q47" i="1"/>
  <c r="Q46" i="1"/>
  <c r="Q44" i="1"/>
  <c r="Q38" i="1"/>
  <c r="Q35" i="1"/>
  <c r="Q30" i="1"/>
  <c r="Q26" i="1"/>
  <c r="Q24" i="1"/>
  <c r="Q18" i="1"/>
  <c r="Q17" i="1"/>
  <c r="P84" i="1"/>
  <c r="P82" i="1"/>
  <c r="P79" i="1"/>
  <c r="P78" i="1"/>
  <c r="P77" i="1"/>
  <c r="P75" i="1"/>
  <c r="P69" i="1"/>
  <c r="P68" i="1"/>
  <c r="P66" i="1"/>
  <c r="P64" i="1"/>
  <c r="P63" i="1"/>
  <c r="P61" i="1"/>
  <c r="P60" i="1"/>
  <c r="P58" i="1"/>
  <c r="P52" i="1"/>
  <c r="P50" i="1"/>
  <c r="P48" i="1"/>
  <c r="P47" i="1"/>
  <c r="P46" i="1"/>
  <c r="P44" i="1"/>
  <c r="P38" i="1"/>
  <c r="P35" i="1"/>
  <c r="P30" i="1"/>
  <c r="P26" i="1"/>
  <c r="P24" i="1"/>
  <c r="P18" i="1"/>
  <c r="P17" i="1"/>
  <c r="Q14" i="1"/>
  <c r="P14" i="1"/>
  <c r="H12" i="1" l="1"/>
</calcChain>
</file>

<file path=xl/sharedStrings.xml><?xml version="1.0" encoding="utf-8"?>
<sst xmlns="http://schemas.openxmlformats.org/spreadsheetml/2006/main" count="13" uniqueCount="13">
  <si>
    <t>DelFI Band</t>
  </si>
  <si>
    <t>Fokus Medialität</t>
  </si>
  <si>
    <t>Fokus Akzeptanz</t>
  </si>
  <si>
    <t>Fokus Innovation</t>
  </si>
  <si>
    <t>Beitragstitelseite</t>
  </si>
  <si>
    <t>Softwareklasse</t>
  </si>
  <si>
    <t>Fokus Empirischer Lernerfolg</t>
  </si>
  <si>
    <t>Evaluation durchgeführt</t>
  </si>
  <si>
    <t>Lehr-Lernsetting</t>
  </si>
  <si>
    <t>Einzelne Software</t>
  </si>
  <si>
    <t>Fokus Normalität der Nutzung</t>
  </si>
  <si>
    <t>X-Koordinate</t>
  </si>
  <si>
    <t>Y-Koordinate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</si>
</sst>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accent2">
                    <a:lumMod val="40000"/>
                    <a:lumOff val="60000"/>
                  </a:schemeClr>
                </a:solidFill>
              </a:rPr>
              <a:t>Verteilung der DeLFI Publikationen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3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3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3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3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3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3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4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4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4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4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4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4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6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6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6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7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7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8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8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8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invertIfNegative val="0"/>
            <c:bubble3D val="1"/>
            <c:spPr>
              <a:gradFill rotWithShape="1">
                <a:gsLst>
                  <a:gs pos="0">
                    <a:schemeClr val="accent2">
                      <a:shade val="9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9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9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9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9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9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8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8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8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8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8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8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7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7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6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6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6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5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invertIfNegative val="0"/>
            <c:bubble3D val="1"/>
            <c:spPr>
              <a:gradFill rotWithShape="1">
                <a:gsLst>
                  <a:gs pos="0">
                    <a:schemeClr val="accent2">
                      <a:tint val="3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3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3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xVal>
            <c:numRef>
              <c:f>Tabelle1!$P$14:$P$84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-1</c:v>
                </c:pt>
                <c:pt idx="4">
                  <c:v>0</c:v>
                </c:pt>
                <c:pt idx="5">
                  <c:v>-1</c:v>
                </c:pt>
                <c:pt idx="6">
                  <c:v>0.5</c:v>
                </c:pt>
                <c:pt idx="7">
                  <c:v>-0.5</c:v>
                </c:pt>
                <c:pt idx="8">
                  <c:v>-1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0.5</c:v>
                </c:pt>
                <c:pt idx="23">
                  <c:v>1</c:v>
                </c:pt>
                <c:pt idx="24">
                  <c:v>-1</c:v>
                </c:pt>
                <c:pt idx="25">
                  <c:v>-0.5</c:v>
                </c:pt>
                <c:pt idx="26">
                  <c:v>-1</c:v>
                </c:pt>
                <c:pt idx="27">
                  <c:v>0</c:v>
                </c:pt>
              </c:numCache>
            </c:numRef>
          </c:xVal>
          <c:yVal>
            <c:numRef>
              <c:f>Tabelle1!$Q$14:$Q$84</c:f>
              <c:numCache>
                <c:formatCode>General</c:formatCode>
                <c:ptCount val="28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-0.5</c:v>
                </c:pt>
                <c:pt idx="7">
                  <c:v>0</c:v>
                </c:pt>
                <c:pt idx="8">
                  <c:v>-0.5</c:v>
                </c:pt>
                <c:pt idx="9">
                  <c:v>-1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0.5</c:v>
                </c:pt>
                <c:pt idx="15">
                  <c:v>0</c:v>
                </c:pt>
                <c:pt idx="16">
                  <c:v>1</c:v>
                </c:pt>
                <c:pt idx="17">
                  <c:v>-0.5</c:v>
                </c:pt>
                <c:pt idx="18">
                  <c:v>-1</c:v>
                </c:pt>
                <c:pt idx="19">
                  <c:v>-0.5</c:v>
                </c:pt>
                <c:pt idx="20">
                  <c:v>1</c:v>
                </c:pt>
                <c:pt idx="21">
                  <c:v>1</c:v>
                </c:pt>
                <c:pt idx="22">
                  <c:v>-0.5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bubbleSize>
            <c:numLit>
              <c:formatCode>General</c:formatCode>
              <c:ptCount val="2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</c:numLit>
          </c:bubbleSize>
          <c:bubble3D val="1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487421504"/>
        <c:axId val="487714776"/>
      </c:bubbleChart>
      <c:valAx>
        <c:axId val="4874215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7714776"/>
        <c:crosses val="autoZero"/>
        <c:crossBetween val="midCat"/>
      </c:valAx>
      <c:valAx>
        <c:axId val="4877147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dist="50800" dir="5400000" algn="ctr" rotWithShape="0">
                <a:srgbClr val="000000">
                  <a:alpha val="43137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crossAx val="48742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1706880</xdr:colOff>
      <xdr:row>34</xdr:row>
      <xdr:rowOff>133350</xdr:rowOff>
    </xdr:from>
    <xdr:to>
      <xdr:col>12</xdr:col>
      <xdr:colOff>144780</xdr:colOff>
      <xdr:row>68</xdr:row>
      <xdr:rowOff>133350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hne" refreshedDate="42816.67035104167" createdVersion="5" refreshedVersion="5" minRefreshableVersion="3" recordCount="82">
  <cacheSource type="worksheet">
    <worksheetSource ref="C2:K84" sheet="Tabelle1"/>
  </cacheSource>
  <cacheFields count="9">
    <cacheField name="0" numFmtId="0">
      <sharedItems containsSemiMixedTypes="0" containsString="0" containsNumber="1" containsInteger="1" minValue="-1" maxValue="1"/>
    </cacheField>
    <cacheField name="02" numFmtId="0">
      <sharedItems containsSemiMixedTypes="0" containsString="0" containsNumber="1" containsInteger="1" minValue="-1" maxValue="1"/>
    </cacheField>
    <cacheField name="1" numFmtId="0">
      <sharedItems containsSemiMixedTypes="0" containsString="0" containsNumber="1" containsInteger="1" minValue="-1" maxValue="1"/>
    </cacheField>
    <cacheField name="-1" numFmtId="0">
      <sharedItems containsSemiMixedTypes="0" containsString="0" containsNumber="1" containsInteger="1" minValue="-1" maxValue="1"/>
    </cacheField>
    <cacheField name="-12" numFmtId="0">
      <sharedItems containsSemiMixedTypes="0" containsString="0" containsNumber="1" containsInteger="1" minValue="-1" maxValue="1"/>
    </cacheField>
    <cacheField name="03" numFmtId="0">
      <sharedItems containsSemiMixedTypes="0" containsString="0" containsNumber="1" containsInteger="1" minValue="-1" maxValue="1"/>
    </cacheField>
    <cacheField name="12" numFmtId="0">
      <sharedItems containsSemiMixedTypes="0" containsString="0" containsNumber="1" containsInteger="1" minValue="-1" maxValue="1"/>
    </cacheField>
    <cacheField name="-13" numFmtId="0">
      <sharedItems containsSemiMixedTypes="0" containsString="0" containsNumber="1" containsInteger="1" minValue="-1" maxValue="1"/>
    </cacheField>
    <cacheField name="13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">
  <r>
    <n v="0"/>
    <n v="0"/>
    <n v="1"/>
    <n v="-1"/>
    <n v="-1"/>
    <n v="0"/>
    <n v="-1"/>
    <n v="-1"/>
    <n v="0"/>
  </r>
  <r>
    <n v="0"/>
    <n v="0"/>
    <n v="1"/>
    <n v="1"/>
    <n v="0"/>
    <n v="0"/>
    <n v="0"/>
    <n v="0"/>
    <n v="0"/>
  </r>
  <r>
    <n v="1"/>
    <n v="0"/>
    <n v="1"/>
    <n v="0"/>
    <n v="0"/>
    <n v="0"/>
    <n v="0"/>
    <n v="0"/>
    <n v="0"/>
  </r>
  <r>
    <n v="0"/>
    <n v="1"/>
    <n v="1"/>
    <n v="-1"/>
    <n v="1"/>
    <n v="1"/>
    <n v="-1"/>
    <n v="-1"/>
    <n v="0"/>
  </r>
  <r>
    <n v="1"/>
    <n v="0"/>
    <n v="1"/>
    <n v="1"/>
    <n v="1"/>
    <n v="-1"/>
    <n v="-1"/>
    <n v="1"/>
    <n v="0"/>
  </r>
  <r>
    <n v="0"/>
    <n v="1"/>
    <n v="1"/>
    <n v="0"/>
    <n v="0"/>
    <n v="0"/>
    <n v="1"/>
    <n v="0"/>
    <n v="0"/>
  </r>
  <r>
    <n v="0"/>
    <n v="0"/>
    <n v="1"/>
    <n v="0"/>
    <n v="0"/>
    <n v="1"/>
    <n v="0"/>
    <n v="0"/>
    <n v="0"/>
  </r>
  <r>
    <n v="0"/>
    <n v="-1"/>
    <n v="-1"/>
    <n v="-1"/>
    <n v="-1"/>
    <n v="-1"/>
    <n v="-1"/>
    <n v="-1"/>
    <n v="0"/>
  </r>
  <r>
    <n v="1"/>
    <n v="-1"/>
    <n v="1"/>
    <n v="0"/>
    <n v="-1"/>
    <n v="-1"/>
    <n v="-1"/>
    <n v="-1"/>
    <n v="1"/>
  </r>
  <r>
    <n v="0"/>
    <n v="1"/>
    <n v="1"/>
    <n v="0"/>
    <n v="-1"/>
    <n v="0"/>
    <n v="-1"/>
    <n v="-1"/>
    <n v="0"/>
  </r>
  <r>
    <n v="-1"/>
    <n v="-1"/>
    <n v="-1"/>
    <n v="-1"/>
    <n v="-1"/>
    <n v="-1"/>
    <n v="-1"/>
    <n v="-1"/>
    <n v="1"/>
  </r>
  <r>
    <n v="1"/>
    <n v="1"/>
    <n v="1"/>
    <n v="0"/>
    <n v="0"/>
    <n v="-1"/>
    <n v="1"/>
    <n v="-1"/>
    <n v="0"/>
  </r>
  <r>
    <n v="0"/>
    <n v="1"/>
    <n v="1"/>
    <n v="0"/>
    <n v="-1"/>
    <n v="0"/>
    <n v="0"/>
    <n v="0"/>
    <n v="1"/>
  </r>
  <r>
    <n v="1"/>
    <n v="1"/>
    <n v="-1"/>
    <n v="1"/>
    <n v="1"/>
    <n v="0"/>
    <n v="1"/>
    <n v="-1"/>
    <n v="1"/>
  </r>
  <r>
    <n v="1"/>
    <n v="1"/>
    <n v="1"/>
    <n v="-1"/>
    <n v="0"/>
    <n v="1"/>
    <n v="-1"/>
    <n v="-1"/>
    <n v="0"/>
  </r>
  <r>
    <n v="1"/>
    <n v="1"/>
    <n v="1"/>
    <n v="1"/>
    <n v="-1"/>
    <n v="-1"/>
    <n v="-1"/>
    <n v="-1"/>
    <n v="0"/>
  </r>
  <r>
    <n v="1"/>
    <n v="0"/>
    <n v="1"/>
    <n v="1"/>
    <n v="1"/>
    <n v="-1"/>
    <n v="-1"/>
    <n v="0"/>
    <n v="1"/>
  </r>
  <r>
    <n v="-1"/>
    <n v="0"/>
    <n v="1"/>
    <n v="1"/>
    <n v="-1"/>
    <n v="-1"/>
    <n v="1"/>
    <n v="-1"/>
    <n v="0"/>
  </r>
  <r>
    <n v="-1"/>
    <n v="1"/>
    <n v="1"/>
    <n v="-1"/>
    <n v="-1"/>
    <n v="-1"/>
    <n v="-1"/>
    <n v="-1"/>
    <n v="1"/>
  </r>
  <r>
    <n v="-1"/>
    <n v="-1"/>
    <n v="1"/>
    <n v="-1"/>
    <n v="-1"/>
    <n v="-1"/>
    <n v="-1"/>
    <n v="-1"/>
    <n v="1"/>
  </r>
  <r>
    <n v="-1"/>
    <n v="-1"/>
    <n v="1"/>
    <n v="-1"/>
    <n v="-1"/>
    <n v="-1"/>
    <n v="-1"/>
    <n v="-1"/>
    <n v="1"/>
  </r>
  <r>
    <n v="1"/>
    <n v="1"/>
    <n v="1"/>
    <n v="-1"/>
    <n v="1"/>
    <n v="-1"/>
    <n v="-1"/>
    <n v="1"/>
    <n v="0"/>
  </r>
  <r>
    <n v="-1"/>
    <n v="1"/>
    <n v="-1"/>
    <n v="-1"/>
    <n v="1"/>
    <n v="-1"/>
    <n v="1"/>
    <n v="-1"/>
    <n v="0"/>
  </r>
  <r>
    <n v="1"/>
    <n v="1"/>
    <n v="1"/>
    <n v="-1"/>
    <n v="1"/>
    <n v="1"/>
    <n v="-1"/>
    <n v="-1"/>
    <n v="0"/>
  </r>
  <r>
    <n v="1"/>
    <n v="-1"/>
    <n v="1"/>
    <n v="-1"/>
    <n v="1"/>
    <n v="-1"/>
    <n v="-1"/>
    <n v="1"/>
    <n v="0"/>
  </r>
  <r>
    <n v="-1"/>
    <n v="0"/>
    <n v="1"/>
    <n v="-1"/>
    <n v="-1"/>
    <n v="-1"/>
    <n v="-1"/>
    <n v="-1"/>
    <n v="1"/>
  </r>
  <r>
    <n v="-1"/>
    <n v="1"/>
    <n v="-1"/>
    <n v="-1"/>
    <n v="-1"/>
    <n v="-1"/>
    <n v="-1"/>
    <n v="-1"/>
    <n v="0"/>
  </r>
  <r>
    <n v="1"/>
    <n v="1"/>
    <n v="1"/>
    <n v="0"/>
    <n v="-1"/>
    <n v="-1"/>
    <n v="-1"/>
    <n v="1"/>
    <n v="0"/>
  </r>
  <r>
    <n v="-1"/>
    <n v="0"/>
    <n v="1"/>
    <n v="-1"/>
    <n v="-1"/>
    <n v="-1"/>
    <n v="-1"/>
    <n v="-1"/>
    <n v="0"/>
  </r>
  <r>
    <n v="-1"/>
    <n v="0"/>
    <n v="-1"/>
    <n v="-1"/>
    <n v="-1"/>
    <n v="-1"/>
    <n v="-1"/>
    <n v="-1"/>
    <n v="1"/>
  </r>
  <r>
    <n v="-1"/>
    <n v="0"/>
    <n v="-1"/>
    <n v="-1"/>
    <n v="-1"/>
    <n v="-1"/>
    <n v="-1"/>
    <n v="-1"/>
    <n v="1"/>
  </r>
  <r>
    <n v="-1"/>
    <n v="0"/>
    <n v="0"/>
    <n v="-1"/>
    <n v="1"/>
    <n v="-1"/>
    <n v="-1"/>
    <n v="-1"/>
    <n v="0"/>
  </r>
  <r>
    <n v="1"/>
    <n v="1"/>
    <n v="1"/>
    <n v="-1"/>
    <n v="1"/>
    <n v="-1"/>
    <n v="0"/>
    <n v="-1"/>
    <n v="0"/>
  </r>
  <r>
    <n v="-1"/>
    <n v="1"/>
    <n v="-1"/>
    <n v="-1"/>
    <n v="-1"/>
    <n v="-1"/>
    <n v="-1"/>
    <n v="-1"/>
    <n v="0"/>
  </r>
  <r>
    <n v="-1"/>
    <n v="1"/>
    <n v="-1"/>
    <n v="-1"/>
    <n v="-1"/>
    <n v="-1"/>
    <n v="-1"/>
    <n v="-1"/>
    <n v="0"/>
  </r>
  <r>
    <n v="1"/>
    <n v="1"/>
    <n v="1"/>
    <n v="-1"/>
    <n v="1"/>
    <n v="-1"/>
    <n v="-1"/>
    <n v="0"/>
    <n v="0"/>
  </r>
  <r>
    <n v="1"/>
    <n v="0"/>
    <n v="0"/>
    <n v="-1"/>
    <n v="0"/>
    <n v="-1"/>
    <n v="-1"/>
    <n v="1"/>
    <n v="1"/>
  </r>
  <r>
    <n v="1"/>
    <n v="0"/>
    <n v="1"/>
    <n v="-1"/>
    <n v="-1"/>
    <n v="-1"/>
    <n v="-1"/>
    <n v="1"/>
    <n v="1"/>
  </r>
  <r>
    <n v="-1"/>
    <n v="1"/>
    <n v="1"/>
    <n v="-1"/>
    <n v="-1"/>
    <n v="-1"/>
    <n v="-1"/>
    <n v="-1"/>
    <n v="0"/>
  </r>
  <r>
    <n v="-1"/>
    <n v="0"/>
    <n v="1"/>
    <n v="-1"/>
    <n v="-1"/>
    <n v="-1"/>
    <n v="-1"/>
    <n v="-1"/>
    <n v="1"/>
  </r>
  <r>
    <n v="-1"/>
    <n v="0"/>
    <n v="-1"/>
    <n v="-1"/>
    <n v="-1"/>
    <n v="-1"/>
    <n v="-1"/>
    <n v="-1"/>
    <n v="1"/>
  </r>
  <r>
    <n v="1"/>
    <n v="1"/>
    <n v="1"/>
    <n v="-1"/>
    <n v="1"/>
    <n v="-1"/>
    <n v="0"/>
    <n v="1"/>
    <n v="0"/>
  </r>
  <r>
    <n v="-1"/>
    <n v="0"/>
    <n v="-1"/>
    <n v="-1"/>
    <n v="-1"/>
    <n v="-1"/>
    <n v="-1"/>
    <n v="-1"/>
    <n v="0"/>
  </r>
  <r>
    <n v="1"/>
    <n v="1"/>
    <n v="1"/>
    <n v="-1"/>
    <n v="-1"/>
    <n v="-1"/>
    <n v="1"/>
    <n v="1"/>
    <n v="0"/>
  </r>
  <r>
    <n v="1"/>
    <n v="1"/>
    <n v="1"/>
    <n v="-1"/>
    <n v="-1"/>
    <n v="-1"/>
    <n v="-1"/>
    <n v="-1"/>
    <n v="0"/>
  </r>
  <r>
    <n v="1"/>
    <n v="1"/>
    <n v="1"/>
    <n v="-1"/>
    <n v="1"/>
    <n v="-1"/>
    <n v="-1"/>
    <n v="-1"/>
    <n v="0"/>
  </r>
  <r>
    <n v="1"/>
    <n v="-1"/>
    <n v="-1"/>
    <n v="-1"/>
    <n v="-1"/>
    <n v="-1"/>
    <n v="-1"/>
    <n v="-1"/>
    <n v="0"/>
  </r>
  <r>
    <n v="1"/>
    <n v="1"/>
    <n v="0"/>
    <n v="1"/>
    <n v="0"/>
    <n v="-1"/>
    <n v="-1"/>
    <n v="-1"/>
    <n v="0"/>
  </r>
  <r>
    <n v="-1"/>
    <n v="1"/>
    <n v="0"/>
    <n v="-1"/>
    <n v="1"/>
    <n v="-1"/>
    <n v="1"/>
    <n v="-1"/>
    <n v="0"/>
  </r>
  <r>
    <n v="1"/>
    <n v="1"/>
    <n v="1"/>
    <n v="-1"/>
    <n v="1"/>
    <n v="-1"/>
    <n v="-1"/>
    <n v="-1"/>
    <n v="0"/>
  </r>
  <r>
    <n v="1"/>
    <n v="-1"/>
    <n v="1"/>
    <n v="0"/>
    <n v="-1"/>
    <n v="-1"/>
    <n v="-1"/>
    <n v="-1"/>
    <n v="0"/>
  </r>
  <r>
    <n v="1"/>
    <n v="-1"/>
    <n v="1"/>
    <n v="1"/>
    <n v="1"/>
    <n v="1"/>
    <n v="-1"/>
    <n v="-1"/>
    <n v="0"/>
  </r>
  <r>
    <n v="-1"/>
    <n v="-1"/>
    <n v="-1"/>
    <n v="-1"/>
    <n v="-1"/>
    <n v="-1"/>
    <n v="-1"/>
    <n v="-1"/>
    <n v="-1"/>
  </r>
  <r>
    <n v="-1"/>
    <n v="-1"/>
    <n v="-1"/>
    <n v="-1"/>
    <n v="-1"/>
    <n v="-1"/>
    <n v="-1"/>
    <n v="-1"/>
    <n v="-1"/>
  </r>
  <r>
    <n v="-1"/>
    <n v="-1"/>
    <n v="-1"/>
    <n v="-1"/>
    <n v="-1"/>
    <n v="-1"/>
    <n v="-1"/>
    <n v="-1"/>
    <n v="-1"/>
  </r>
  <r>
    <n v="1"/>
    <n v="1"/>
    <n v="1"/>
    <n v="0"/>
    <n v="0"/>
    <n v="-1"/>
    <n v="-1"/>
    <n v="-1"/>
    <n v="-1"/>
  </r>
  <r>
    <n v="-1"/>
    <n v="-1"/>
    <n v="-1"/>
    <n v="-1"/>
    <n v="-1"/>
    <n v="-1"/>
    <n v="-1"/>
    <n v="-1"/>
    <n v="-1"/>
  </r>
  <r>
    <n v="1"/>
    <n v="1"/>
    <n v="1"/>
    <n v="-1"/>
    <n v="1"/>
    <n v="-1"/>
    <n v="-1"/>
    <n v="-1"/>
    <n v="0"/>
  </r>
  <r>
    <n v="1"/>
    <n v="1"/>
    <n v="1"/>
    <n v="1"/>
    <n v="1"/>
    <n v="-1"/>
    <n v="-1"/>
    <n v="-1"/>
    <n v="0"/>
  </r>
  <r>
    <n v="-1"/>
    <n v="-1"/>
    <n v="-1"/>
    <n v="-1"/>
    <n v="-1"/>
    <n v="-1"/>
    <n v="-1"/>
    <n v="-1"/>
    <n v="0"/>
  </r>
  <r>
    <n v="1"/>
    <n v="1"/>
    <n v="1"/>
    <n v="-1"/>
    <n v="1"/>
    <n v="-1"/>
    <n v="0"/>
    <n v="-1"/>
    <n v="0"/>
  </r>
  <r>
    <n v="1"/>
    <n v="1"/>
    <n v="1"/>
    <n v="-1"/>
    <n v="1"/>
    <n v="-1"/>
    <n v="1"/>
    <n v="1"/>
    <n v="0"/>
  </r>
  <r>
    <n v="1"/>
    <n v="-1"/>
    <n v="1"/>
    <n v="-1"/>
    <n v="1"/>
    <n v="0"/>
    <n v="-1"/>
    <n v="-1"/>
    <n v="1"/>
  </r>
  <r>
    <n v="1"/>
    <n v="1"/>
    <n v="1"/>
    <n v="-1"/>
    <n v="1"/>
    <n v="-1"/>
    <n v="0"/>
    <n v="1"/>
    <n v="-1"/>
  </r>
  <r>
    <n v="1"/>
    <n v="1"/>
    <n v="-1"/>
    <n v="-1"/>
    <n v="-1"/>
    <n v="-1"/>
    <n v="-1"/>
    <n v="-1"/>
    <n v="-1"/>
  </r>
  <r>
    <n v="1"/>
    <n v="1"/>
    <n v="1"/>
    <n v="1"/>
    <n v="1"/>
    <n v="1"/>
    <n v="0"/>
    <n v="1"/>
    <n v="0"/>
  </r>
  <r>
    <n v="1"/>
    <n v="1"/>
    <n v="1"/>
    <n v="1"/>
    <n v="1"/>
    <n v="1"/>
    <n v="0"/>
    <n v="1"/>
    <n v="0"/>
  </r>
  <r>
    <n v="-1"/>
    <n v="1"/>
    <n v="1"/>
    <n v="-1"/>
    <n v="-1"/>
    <n v="-1"/>
    <n v="0"/>
    <n v="-1"/>
    <n v="0"/>
  </r>
  <r>
    <n v="1"/>
    <n v="1"/>
    <n v="1"/>
    <n v="-1"/>
    <n v="1"/>
    <n v="-1"/>
    <n v="-1"/>
    <n v="-1"/>
    <n v="1"/>
  </r>
  <r>
    <n v="-1"/>
    <n v="-1"/>
    <n v="-1"/>
    <n v="-1"/>
    <n v="-1"/>
    <n v="-1"/>
    <n v="-1"/>
    <n v="-1"/>
    <n v="-1"/>
  </r>
  <r>
    <n v="1"/>
    <n v="1"/>
    <n v="-1"/>
    <n v="-1"/>
    <n v="-1"/>
    <n v="-1"/>
    <n v="-1"/>
    <n v="-1"/>
    <n v="-1"/>
  </r>
  <r>
    <n v="-1"/>
    <n v="-1"/>
    <n v="-1"/>
    <n v="-1"/>
    <n v="-1"/>
    <n v="-1"/>
    <n v="-1"/>
    <n v="-1"/>
    <n v="-1"/>
  </r>
  <r>
    <n v="1"/>
    <n v="1"/>
    <n v="1"/>
    <n v="-1"/>
    <n v="1"/>
    <n v="-1"/>
    <n v="0"/>
    <n v="-1"/>
    <n v="0"/>
  </r>
  <r>
    <n v="1"/>
    <n v="1"/>
    <n v="-1"/>
    <n v="-1"/>
    <n v="1"/>
    <n v="-1"/>
    <n v="-1"/>
    <n v="-1"/>
    <n v="-1"/>
  </r>
  <r>
    <n v="1"/>
    <n v="1"/>
    <n v="1"/>
    <n v="1"/>
    <n v="1"/>
    <n v="-1"/>
    <n v="1"/>
    <n v="-1"/>
    <n v="0"/>
  </r>
  <r>
    <n v="1"/>
    <n v="1"/>
    <n v="1"/>
    <n v="-1"/>
    <n v="1"/>
    <n v="-1"/>
    <n v="-1"/>
    <n v="1"/>
    <n v="0"/>
  </r>
  <r>
    <n v="1"/>
    <n v="1"/>
    <n v="1"/>
    <n v="-1"/>
    <n v="-1"/>
    <n v="-1"/>
    <n v="-1"/>
    <n v="0"/>
    <n v="0"/>
  </r>
  <r>
    <n v="-1"/>
    <n v="-1"/>
    <n v="-1"/>
    <n v="-1"/>
    <n v="-1"/>
    <n v="-1"/>
    <n v="-1"/>
    <n v="-1"/>
    <n v="-1"/>
  </r>
  <r>
    <n v="-1"/>
    <n v="-1"/>
    <n v="-1"/>
    <n v="-1"/>
    <n v="-1"/>
    <n v="-1"/>
    <n v="-1"/>
    <n v="-1"/>
    <n v="-1"/>
  </r>
  <r>
    <n v="1"/>
    <n v="1"/>
    <n v="1"/>
    <n v="-1"/>
    <n v="-1"/>
    <n v="-1"/>
    <n v="-1"/>
    <n v="1"/>
    <n v="0"/>
  </r>
  <r>
    <n v="-1"/>
    <n v="-1"/>
    <n v="-1"/>
    <n v="-1"/>
    <n v="-1"/>
    <n v="-1"/>
    <n v="-1"/>
    <n v="-1"/>
    <n v="-1"/>
  </r>
  <r>
    <n v="1"/>
    <n v="1"/>
    <n v="1"/>
    <n v="-1"/>
    <n v="1"/>
    <n v="-1"/>
    <n v="-1"/>
    <n v="-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Werte" updatedVersion="5" minRefreshableVersion="3" useAutoFormatting="1" itemPrintTitles="1" createdVersion="5" indent="0" outline="1" outlineData="1" multipleFieldFilters="0">
  <location ref="M2:O19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84"/>
  <sheetViews>
    <sheetView tabSelected="1" topLeftCell="H14" workbookViewId="0">
      <selection activeCell="H84" sqref="H84"/>
    </sheetView>
  </sheetViews>
  <sheetFormatPr baseColWidth="10" defaultRowHeight="14.4" x14ac:dyDescent="0.3"/>
  <cols>
    <col min="1" max="1" width="13.44140625" customWidth="1"/>
    <col min="2" max="2" width="21.77734375" customWidth="1"/>
    <col min="3" max="3" width="20.5546875" bestFit="1" customWidth="1"/>
    <col min="4" max="4" width="24.109375" bestFit="1" customWidth="1"/>
    <col min="5" max="5" width="18.21875" bestFit="1" customWidth="1"/>
    <col min="6" max="6" width="14.44140625" bestFit="1" customWidth="1"/>
    <col min="7" max="7" width="14.33203125" bestFit="1" customWidth="1"/>
    <col min="8" max="8" width="25.109375" bestFit="1" customWidth="1"/>
    <col min="9" max="9" width="14.88671875" bestFit="1" customWidth="1"/>
    <col min="10" max="10" width="24.5546875" bestFit="1" customWidth="1"/>
    <col min="11" max="11" width="13.33203125" bestFit="1" customWidth="1"/>
  </cols>
  <sheetData>
    <row r="1" spans="1:17" x14ac:dyDescent="0.3">
      <c r="A1" s="1" t="s">
        <v>0</v>
      </c>
      <c r="B1" s="1" t="s">
        <v>4</v>
      </c>
      <c r="C1" s="1" t="s">
        <v>7</v>
      </c>
      <c r="D1" s="1" t="s">
        <v>9</v>
      </c>
      <c r="E1" s="1" t="s">
        <v>8</v>
      </c>
      <c r="F1" s="1" t="s">
        <v>1</v>
      </c>
      <c r="G1" s="1" t="s">
        <v>2</v>
      </c>
      <c r="H1" s="1" t="s">
        <v>10</v>
      </c>
      <c r="I1" s="1" t="s">
        <v>3</v>
      </c>
      <c r="J1" s="1" t="s">
        <v>6</v>
      </c>
      <c r="K1" s="1" t="s">
        <v>5</v>
      </c>
      <c r="P1" t="s">
        <v>11</v>
      </c>
      <c r="Q1" t="s">
        <v>12</v>
      </c>
    </row>
    <row r="2" spans="1:17" hidden="1" x14ac:dyDescent="0.3">
      <c r="A2">
        <v>2005</v>
      </c>
      <c r="B2">
        <v>23</v>
      </c>
      <c r="C2">
        <v>0</v>
      </c>
      <c r="D2">
        <v>0</v>
      </c>
      <c r="E2">
        <v>1</v>
      </c>
      <c r="F2">
        <v>-1</v>
      </c>
      <c r="G2">
        <v>-1</v>
      </c>
      <c r="H2">
        <v>0</v>
      </c>
      <c r="I2">
        <v>1</v>
      </c>
      <c r="J2">
        <v>-1</v>
      </c>
      <c r="K2">
        <v>1</v>
      </c>
      <c r="M2" s="2"/>
      <c r="N2" s="3"/>
      <c r="O2" s="4"/>
    </row>
    <row r="3" spans="1:17" hidden="1" x14ac:dyDescent="0.3">
      <c r="A3">
        <v>2005</v>
      </c>
      <c r="B3">
        <v>57</v>
      </c>
      <c r="C3">
        <v>0</v>
      </c>
      <c r="D3">
        <v>0</v>
      </c>
      <c r="E3">
        <v>1</v>
      </c>
      <c r="F3">
        <v>-1</v>
      </c>
      <c r="G3">
        <v>-1</v>
      </c>
      <c r="H3">
        <v>0</v>
      </c>
      <c r="I3">
        <v>-1</v>
      </c>
      <c r="J3">
        <v>-1</v>
      </c>
      <c r="K3">
        <v>0</v>
      </c>
      <c r="M3" s="5"/>
      <c r="N3" s="6"/>
      <c r="O3" s="7"/>
    </row>
    <row r="4" spans="1:17" hidden="1" x14ac:dyDescent="0.3">
      <c r="A4">
        <v>2005</v>
      </c>
      <c r="B4">
        <v>69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M4" s="5"/>
      <c r="N4" s="6"/>
      <c r="O4" s="7"/>
    </row>
    <row r="5" spans="1:17" hidden="1" x14ac:dyDescent="0.3">
      <c r="A5">
        <v>2005</v>
      </c>
      <c r="B5">
        <v>81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 s="5"/>
      <c r="N5" s="6"/>
      <c r="O5" s="7"/>
    </row>
    <row r="6" spans="1:17" hidden="1" x14ac:dyDescent="0.3">
      <c r="A6">
        <v>2005</v>
      </c>
      <c r="B6">
        <v>93</v>
      </c>
      <c r="C6">
        <v>0</v>
      </c>
      <c r="D6">
        <v>1</v>
      </c>
      <c r="E6">
        <v>1</v>
      </c>
      <c r="F6">
        <v>-1</v>
      </c>
      <c r="G6">
        <v>1</v>
      </c>
      <c r="H6">
        <v>1</v>
      </c>
      <c r="I6">
        <v>-1</v>
      </c>
      <c r="J6">
        <v>-1</v>
      </c>
      <c r="K6">
        <v>0</v>
      </c>
      <c r="M6" s="5"/>
      <c r="N6" s="6"/>
      <c r="O6" s="7"/>
    </row>
    <row r="7" spans="1:17" hidden="1" x14ac:dyDescent="0.3">
      <c r="A7">
        <v>2014</v>
      </c>
      <c r="B7">
        <v>15</v>
      </c>
      <c r="C7">
        <v>1</v>
      </c>
      <c r="D7">
        <v>0</v>
      </c>
      <c r="E7">
        <v>1</v>
      </c>
      <c r="F7">
        <v>1</v>
      </c>
      <c r="G7">
        <v>1</v>
      </c>
      <c r="H7">
        <v>-1</v>
      </c>
      <c r="I7">
        <v>-1</v>
      </c>
      <c r="J7">
        <v>1</v>
      </c>
      <c r="K7">
        <v>0</v>
      </c>
      <c r="M7" s="5"/>
      <c r="N7" s="6"/>
      <c r="O7" s="7"/>
    </row>
    <row r="8" spans="1:17" hidden="1" x14ac:dyDescent="0.3">
      <c r="A8">
        <v>2014</v>
      </c>
      <c r="B8">
        <v>39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M8" s="5"/>
      <c r="N8" s="6"/>
      <c r="O8" s="7"/>
    </row>
    <row r="9" spans="1:17" hidden="1" x14ac:dyDescent="0.3">
      <c r="A9">
        <v>2014</v>
      </c>
      <c r="B9">
        <v>51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M9" s="5"/>
      <c r="N9" s="6"/>
      <c r="O9" s="7"/>
    </row>
    <row r="10" spans="1:17" hidden="1" x14ac:dyDescent="0.3">
      <c r="A10">
        <v>2014</v>
      </c>
      <c r="B10">
        <v>61</v>
      </c>
      <c r="C10">
        <v>0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0</v>
      </c>
      <c r="M10" s="5"/>
      <c r="N10" s="6"/>
      <c r="O10" s="7"/>
    </row>
    <row r="11" spans="1:17" hidden="1" x14ac:dyDescent="0.3">
      <c r="A11">
        <v>2014</v>
      </c>
      <c r="B11">
        <v>73</v>
      </c>
      <c r="C11">
        <v>1</v>
      </c>
      <c r="D11">
        <v>-1</v>
      </c>
      <c r="E11">
        <v>1</v>
      </c>
      <c r="F11">
        <v>0</v>
      </c>
      <c r="G11">
        <v>-1</v>
      </c>
      <c r="H11">
        <v>-1</v>
      </c>
      <c r="I11">
        <v>-1</v>
      </c>
      <c r="J11">
        <v>-1</v>
      </c>
      <c r="K11">
        <v>1</v>
      </c>
      <c r="M11" s="5"/>
      <c r="N11" s="6"/>
      <c r="O11" s="7"/>
    </row>
    <row r="12" spans="1:17" hidden="1" x14ac:dyDescent="0.3">
      <c r="A12">
        <v>2014</v>
      </c>
      <c r="B12">
        <v>85</v>
      </c>
      <c r="C12">
        <v>0</v>
      </c>
      <c r="D12">
        <v>1</v>
      </c>
      <c r="E12">
        <v>1</v>
      </c>
      <c r="F12">
        <v>0</v>
      </c>
      <c r="G12">
        <v>-1</v>
      </c>
      <c r="H12">
        <f>-I120</f>
        <v>0</v>
      </c>
      <c r="I12">
        <v>-1</v>
      </c>
      <c r="J12">
        <v>-1</v>
      </c>
      <c r="K12">
        <v>0</v>
      </c>
      <c r="M12" s="5"/>
      <c r="N12" s="6"/>
      <c r="O12" s="7"/>
    </row>
    <row r="13" spans="1:17" hidden="1" x14ac:dyDescent="0.3">
      <c r="A13">
        <v>2014</v>
      </c>
      <c r="B13">
        <v>97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1</v>
      </c>
      <c r="M13" s="5"/>
      <c r="N13" s="6"/>
      <c r="O13" s="7"/>
    </row>
    <row r="14" spans="1:17" x14ac:dyDescent="0.3">
      <c r="A14">
        <v>2014</v>
      </c>
      <c r="B14">
        <v>109</v>
      </c>
      <c r="C14">
        <v>1</v>
      </c>
      <c r="D14">
        <v>1</v>
      </c>
      <c r="E14">
        <v>1</v>
      </c>
      <c r="F14">
        <v>0</v>
      </c>
      <c r="G14">
        <v>0</v>
      </c>
      <c r="H14">
        <v>-1</v>
      </c>
      <c r="I14">
        <v>1</v>
      </c>
      <c r="J14">
        <v>-1</v>
      </c>
      <c r="K14">
        <v>0</v>
      </c>
      <c r="M14" s="5"/>
      <c r="N14" s="6"/>
      <c r="O14" s="7"/>
      <c r="P14">
        <f>IF(J14=I14,0,IF(-J14=I14,-J14,IF(J14+I14=-1,0.5+I14,I14-J14)))</f>
        <v>1</v>
      </c>
      <c r="Q14">
        <f>IF(I14=F14,0,IF(-I14=F14,-I14,IF(I14+F14=-1,0.5+F14,F14-I14)))</f>
        <v>-1</v>
      </c>
    </row>
    <row r="15" spans="1:17" hidden="1" x14ac:dyDescent="0.3">
      <c r="A15">
        <v>2014</v>
      </c>
      <c r="B15">
        <v>121</v>
      </c>
      <c r="C15">
        <v>0</v>
      </c>
      <c r="D15">
        <v>1</v>
      </c>
      <c r="E15">
        <v>1</v>
      </c>
      <c r="F15">
        <v>0</v>
      </c>
      <c r="G15">
        <v>-1</v>
      </c>
      <c r="H15">
        <v>0</v>
      </c>
      <c r="I15">
        <v>0</v>
      </c>
      <c r="J15">
        <v>0</v>
      </c>
      <c r="K15">
        <v>1</v>
      </c>
      <c r="M15" s="5"/>
      <c r="N15" s="6"/>
      <c r="O15" s="7"/>
    </row>
    <row r="16" spans="1:17" hidden="1" x14ac:dyDescent="0.3">
      <c r="A16">
        <v>2014</v>
      </c>
      <c r="B16">
        <v>127</v>
      </c>
      <c r="C16">
        <v>1</v>
      </c>
      <c r="D16">
        <v>1</v>
      </c>
      <c r="E16">
        <v>-1</v>
      </c>
      <c r="F16">
        <v>1</v>
      </c>
      <c r="G16">
        <v>1</v>
      </c>
      <c r="H16">
        <v>0</v>
      </c>
      <c r="I16">
        <v>1</v>
      </c>
      <c r="J16">
        <v>-1</v>
      </c>
      <c r="K16">
        <v>1</v>
      </c>
      <c r="M16" s="5"/>
      <c r="N16" s="6"/>
      <c r="O16" s="7"/>
    </row>
    <row r="17" spans="1:17" x14ac:dyDescent="0.3">
      <c r="A17">
        <v>2014</v>
      </c>
      <c r="B17">
        <v>133</v>
      </c>
      <c r="C17">
        <v>1</v>
      </c>
      <c r="D17">
        <v>1</v>
      </c>
      <c r="E17">
        <v>1</v>
      </c>
      <c r="F17">
        <v>-1</v>
      </c>
      <c r="G17">
        <v>0</v>
      </c>
      <c r="H17">
        <v>1</v>
      </c>
      <c r="I17">
        <v>-1</v>
      </c>
      <c r="J17">
        <v>-1</v>
      </c>
      <c r="K17">
        <v>0</v>
      </c>
      <c r="M17" s="5"/>
      <c r="N17" s="6"/>
      <c r="O17" s="7"/>
      <c r="P17">
        <f t="shared" ref="P17:P18" si="0">IF(J17=I17,0,IF(-J17=I17,-J17,IF(J17+I17=-1,0.5+I17,I17-J17)))</f>
        <v>0</v>
      </c>
      <c r="Q17">
        <f t="shared" ref="Q17:Q18" si="1">IF(I17=F17,0,IF(-I17=F17,-I17,IF(I17+F17=-1,0.5+F17,F17-I17)))</f>
        <v>0</v>
      </c>
    </row>
    <row r="18" spans="1:17" x14ac:dyDescent="0.3">
      <c r="A18">
        <v>2014</v>
      </c>
      <c r="B18">
        <v>145</v>
      </c>
      <c r="C18">
        <v>1</v>
      </c>
      <c r="D18">
        <v>1</v>
      </c>
      <c r="E18">
        <v>1</v>
      </c>
      <c r="F18">
        <v>1</v>
      </c>
      <c r="G18">
        <v>-1</v>
      </c>
      <c r="H18">
        <v>-1</v>
      </c>
      <c r="I18">
        <v>-1</v>
      </c>
      <c r="J18">
        <v>-1</v>
      </c>
      <c r="K18">
        <v>0</v>
      </c>
      <c r="M18" s="5"/>
      <c r="N18" s="6"/>
      <c r="O18" s="7"/>
      <c r="P18">
        <f t="shared" si="0"/>
        <v>0</v>
      </c>
      <c r="Q18">
        <f t="shared" si="1"/>
        <v>1</v>
      </c>
    </row>
    <row r="19" spans="1:17" hidden="1" x14ac:dyDescent="0.3">
      <c r="A19">
        <v>2014</v>
      </c>
      <c r="B19">
        <v>151</v>
      </c>
      <c r="C19">
        <v>1</v>
      </c>
      <c r="D19">
        <v>0</v>
      </c>
      <c r="E19">
        <v>1</v>
      </c>
      <c r="F19">
        <v>1</v>
      </c>
      <c r="G19">
        <v>1</v>
      </c>
      <c r="H19">
        <v>-1</v>
      </c>
      <c r="I19">
        <v>-1</v>
      </c>
      <c r="J19">
        <v>0</v>
      </c>
      <c r="K19">
        <v>1</v>
      </c>
      <c r="M19" s="8"/>
      <c r="N19" s="9"/>
      <c r="O19" s="10"/>
    </row>
    <row r="20" spans="1:17" hidden="1" x14ac:dyDescent="0.3">
      <c r="A20">
        <v>2014</v>
      </c>
      <c r="B20">
        <v>157</v>
      </c>
      <c r="C20">
        <v>-1</v>
      </c>
      <c r="D20">
        <v>0</v>
      </c>
      <c r="E20">
        <v>1</v>
      </c>
      <c r="F20">
        <v>1</v>
      </c>
      <c r="G20">
        <v>-1</v>
      </c>
      <c r="H20">
        <v>-1</v>
      </c>
      <c r="I20">
        <v>1</v>
      </c>
      <c r="J20">
        <v>-1</v>
      </c>
      <c r="K20">
        <v>0</v>
      </c>
    </row>
    <row r="21" spans="1:17" hidden="1" x14ac:dyDescent="0.3">
      <c r="A21">
        <v>2014</v>
      </c>
      <c r="B21">
        <v>163</v>
      </c>
      <c r="C21">
        <v>-1</v>
      </c>
      <c r="D21">
        <v>1</v>
      </c>
      <c r="E21">
        <v>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1</v>
      </c>
    </row>
    <row r="22" spans="1:17" hidden="1" x14ac:dyDescent="0.3">
      <c r="A22">
        <v>2014</v>
      </c>
      <c r="B22">
        <v>169</v>
      </c>
      <c r="C22">
        <v>-1</v>
      </c>
      <c r="D22">
        <v>-1</v>
      </c>
      <c r="E22">
        <v>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1</v>
      </c>
    </row>
    <row r="23" spans="1:17" hidden="1" x14ac:dyDescent="0.3">
      <c r="A23">
        <v>2014</v>
      </c>
      <c r="B23">
        <v>181</v>
      </c>
      <c r="C23">
        <v>-1</v>
      </c>
      <c r="D23">
        <v>-1</v>
      </c>
      <c r="E23">
        <v>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1</v>
      </c>
    </row>
    <row r="24" spans="1:17" x14ac:dyDescent="0.3">
      <c r="A24">
        <v>2014</v>
      </c>
      <c r="B24">
        <v>193</v>
      </c>
      <c r="C24">
        <v>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1</v>
      </c>
      <c r="K24">
        <v>0</v>
      </c>
      <c r="P24">
        <f>IF(J24=I24,0,IF(-J24=I24,-J24,IF(J24+I24=-1,0.5+I24,I24-J24)))</f>
        <v>-1</v>
      </c>
      <c r="Q24">
        <f>IF(I24=F24,0,IF(-I24=F24,-I24,IF(I24+F24=-1,0.5+F24,F24-I24)))</f>
        <v>0</v>
      </c>
    </row>
    <row r="25" spans="1:17" hidden="1" x14ac:dyDescent="0.3">
      <c r="A25">
        <v>2014</v>
      </c>
      <c r="B25">
        <v>205</v>
      </c>
      <c r="C25">
        <v>-1</v>
      </c>
      <c r="D25">
        <v>1</v>
      </c>
      <c r="E25">
        <v>-1</v>
      </c>
      <c r="F25">
        <v>-1</v>
      </c>
      <c r="G25">
        <v>1</v>
      </c>
      <c r="H25">
        <v>-1</v>
      </c>
      <c r="I25">
        <v>1</v>
      </c>
      <c r="J25">
        <v>-1</v>
      </c>
      <c r="K25">
        <v>0</v>
      </c>
    </row>
    <row r="26" spans="1:17" x14ac:dyDescent="0.3">
      <c r="A26">
        <v>2014</v>
      </c>
      <c r="B26">
        <v>217</v>
      </c>
      <c r="C26">
        <v>1</v>
      </c>
      <c r="D26">
        <v>1</v>
      </c>
      <c r="E26">
        <v>1</v>
      </c>
      <c r="F26">
        <v>-1</v>
      </c>
      <c r="G26">
        <v>1</v>
      </c>
      <c r="H26">
        <v>1</v>
      </c>
      <c r="I26">
        <v>-1</v>
      </c>
      <c r="J26">
        <v>-1</v>
      </c>
      <c r="K26">
        <v>0</v>
      </c>
      <c r="P26">
        <f>IF(J26=I26,0,IF(-J26=I26,-J26,IF(J26+I26=-1,0.5+I26,I26-J26)))</f>
        <v>0</v>
      </c>
      <c r="Q26">
        <f>IF(I26=F26,0,IF(-I26=F26,-I26,IF(I26+F26=-1,0.5+F26,F26-I26)))</f>
        <v>0</v>
      </c>
    </row>
    <row r="27" spans="1:17" hidden="1" x14ac:dyDescent="0.3">
      <c r="A27">
        <v>2014</v>
      </c>
      <c r="B27">
        <v>229</v>
      </c>
      <c r="C27">
        <v>1</v>
      </c>
      <c r="D27">
        <v>-1</v>
      </c>
      <c r="E27">
        <v>1</v>
      </c>
      <c r="F27">
        <v>-1</v>
      </c>
      <c r="G27">
        <v>1</v>
      </c>
      <c r="H27">
        <v>-1</v>
      </c>
      <c r="I27">
        <v>-1</v>
      </c>
      <c r="J27">
        <v>1</v>
      </c>
      <c r="K27">
        <v>0</v>
      </c>
    </row>
    <row r="28" spans="1:17" hidden="1" x14ac:dyDescent="0.3">
      <c r="A28">
        <v>2014</v>
      </c>
      <c r="B28">
        <v>241</v>
      </c>
      <c r="C28">
        <v>-1</v>
      </c>
      <c r="D28">
        <v>0</v>
      </c>
      <c r="E28">
        <v>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1</v>
      </c>
    </row>
    <row r="29" spans="1:17" hidden="1" x14ac:dyDescent="0.3">
      <c r="A29">
        <v>2014</v>
      </c>
      <c r="B29">
        <v>253</v>
      </c>
      <c r="C29">
        <v>-1</v>
      </c>
      <c r="D29">
        <v>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0</v>
      </c>
    </row>
    <row r="30" spans="1:17" x14ac:dyDescent="0.3">
      <c r="A30">
        <v>2014</v>
      </c>
      <c r="B30">
        <v>259</v>
      </c>
      <c r="C30">
        <v>1</v>
      </c>
      <c r="D30">
        <v>1</v>
      </c>
      <c r="E30">
        <v>1</v>
      </c>
      <c r="F30">
        <v>0</v>
      </c>
      <c r="G30">
        <v>-1</v>
      </c>
      <c r="H30">
        <v>-1</v>
      </c>
      <c r="I30">
        <v>-1</v>
      </c>
      <c r="J30">
        <v>1</v>
      </c>
      <c r="K30">
        <v>0</v>
      </c>
      <c r="P30">
        <f>IF(J30=I30,0,IF(-J30=I30,-J30,IF(J30+I30=-1,0.5+I30,I30-J30)))</f>
        <v>-1</v>
      </c>
      <c r="Q30">
        <f>IF(I30=F30,0,IF(-I30=F30,-I30,IF(I30+F30=-1,0.5+F30,F30-I30)))</f>
        <v>0.5</v>
      </c>
    </row>
    <row r="31" spans="1:17" hidden="1" x14ac:dyDescent="0.3">
      <c r="A31">
        <v>2014</v>
      </c>
      <c r="B31">
        <v>265</v>
      </c>
      <c r="C31">
        <v>-1</v>
      </c>
      <c r="D31">
        <v>0</v>
      </c>
      <c r="E31">
        <v>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0</v>
      </c>
    </row>
    <row r="32" spans="1:17" hidden="1" x14ac:dyDescent="0.3">
      <c r="A32">
        <v>2014</v>
      </c>
      <c r="B32">
        <v>271</v>
      </c>
      <c r="C32">
        <v>-1</v>
      </c>
      <c r="D32">
        <v>0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1</v>
      </c>
    </row>
    <row r="33" spans="1:17" hidden="1" x14ac:dyDescent="0.3">
      <c r="A33">
        <v>2014</v>
      </c>
      <c r="B33">
        <v>277</v>
      </c>
      <c r="C33">
        <v>-1</v>
      </c>
      <c r="D33">
        <v>0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1</v>
      </c>
    </row>
    <row r="34" spans="1:17" hidden="1" x14ac:dyDescent="0.3">
      <c r="A34">
        <v>2014</v>
      </c>
      <c r="B34">
        <v>288</v>
      </c>
      <c r="C34">
        <v>-1</v>
      </c>
      <c r="D34">
        <v>0</v>
      </c>
      <c r="E34">
        <v>0</v>
      </c>
      <c r="F34">
        <v>-1</v>
      </c>
      <c r="G34">
        <v>1</v>
      </c>
      <c r="H34">
        <v>-1</v>
      </c>
      <c r="I34">
        <v>-1</v>
      </c>
      <c r="J34">
        <v>-1</v>
      </c>
      <c r="K34">
        <v>0</v>
      </c>
    </row>
    <row r="35" spans="1:17" x14ac:dyDescent="0.3">
      <c r="A35">
        <v>2014</v>
      </c>
      <c r="B35">
        <v>289</v>
      </c>
      <c r="C35">
        <v>1</v>
      </c>
      <c r="D35">
        <v>1</v>
      </c>
      <c r="E35">
        <v>1</v>
      </c>
      <c r="F35">
        <v>-1</v>
      </c>
      <c r="G35">
        <v>1</v>
      </c>
      <c r="H35">
        <v>-1</v>
      </c>
      <c r="I35">
        <v>0</v>
      </c>
      <c r="J35">
        <v>-1</v>
      </c>
      <c r="K35">
        <v>0</v>
      </c>
      <c r="P35">
        <f>IF(J35=I35,0,IF(-J35=I35,-J35,IF(J35+I35=-1,0.5+I35,I35-J35)))</f>
        <v>0.5</v>
      </c>
      <c r="Q35">
        <f>IF(I35=F35,0,IF(-I35=F35,-I35,IF(I35+F35=-1,0.5+F35,F35-I35)))</f>
        <v>-0.5</v>
      </c>
    </row>
    <row r="36" spans="1:17" hidden="1" x14ac:dyDescent="0.3">
      <c r="A36">
        <v>2014</v>
      </c>
      <c r="B36">
        <v>294</v>
      </c>
      <c r="C36">
        <v>-1</v>
      </c>
      <c r="D36">
        <v>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0</v>
      </c>
    </row>
    <row r="37" spans="1:17" hidden="1" x14ac:dyDescent="0.3">
      <c r="A37">
        <v>2014</v>
      </c>
      <c r="B37">
        <v>297</v>
      </c>
      <c r="C37">
        <v>-1</v>
      </c>
      <c r="D37">
        <v>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0</v>
      </c>
    </row>
    <row r="38" spans="1:17" x14ac:dyDescent="0.3">
      <c r="A38">
        <v>2014</v>
      </c>
      <c r="B38">
        <v>301</v>
      </c>
      <c r="C38">
        <v>1</v>
      </c>
      <c r="D38">
        <v>1</v>
      </c>
      <c r="E38">
        <v>1</v>
      </c>
      <c r="F38">
        <v>-1</v>
      </c>
      <c r="G38">
        <v>1</v>
      </c>
      <c r="H38">
        <v>-1</v>
      </c>
      <c r="I38">
        <v>-1</v>
      </c>
      <c r="J38">
        <v>0</v>
      </c>
      <c r="K38">
        <v>0</v>
      </c>
      <c r="P38">
        <f>IF(J38=I38,0,IF(-J38=I38,-J38,IF(J38+I38=-1,0.5+I38,I38-J38)))</f>
        <v>-0.5</v>
      </c>
      <c r="Q38">
        <f>IF(I38=F38,0,IF(-I38=F38,-I38,IF(I38+F38=-1,0.5+F38,F38-I38)))</f>
        <v>0</v>
      </c>
    </row>
    <row r="39" spans="1:17" hidden="1" x14ac:dyDescent="0.3">
      <c r="A39">
        <v>2015</v>
      </c>
      <c r="B39">
        <v>17</v>
      </c>
      <c r="C39">
        <v>1</v>
      </c>
      <c r="D39">
        <v>0</v>
      </c>
      <c r="E39">
        <v>0</v>
      </c>
      <c r="F39">
        <v>-1</v>
      </c>
      <c r="G39">
        <v>0</v>
      </c>
      <c r="H39">
        <v>-1</v>
      </c>
      <c r="I39">
        <v>-1</v>
      </c>
      <c r="J39">
        <v>1</v>
      </c>
      <c r="K39">
        <v>1</v>
      </c>
    </row>
    <row r="40" spans="1:17" hidden="1" x14ac:dyDescent="0.3">
      <c r="A40">
        <v>2015</v>
      </c>
      <c r="B40">
        <v>29</v>
      </c>
      <c r="C40">
        <v>1</v>
      </c>
      <c r="D40">
        <v>0</v>
      </c>
      <c r="E40">
        <v>1</v>
      </c>
      <c r="F40">
        <v>-1</v>
      </c>
      <c r="G40">
        <v>-1</v>
      </c>
      <c r="H40">
        <v>-1</v>
      </c>
      <c r="I40">
        <v>-1</v>
      </c>
      <c r="J40">
        <v>1</v>
      </c>
      <c r="K40">
        <v>1</v>
      </c>
    </row>
    <row r="41" spans="1:17" hidden="1" x14ac:dyDescent="0.3">
      <c r="A41">
        <v>2015</v>
      </c>
      <c r="B41">
        <v>43</v>
      </c>
      <c r="C41">
        <v>-1</v>
      </c>
      <c r="D41">
        <v>1</v>
      </c>
      <c r="E41">
        <v>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0</v>
      </c>
    </row>
    <row r="42" spans="1:17" hidden="1" x14ac:dyDescent="0.3">
      <c r="A42">
        <v>2015</v>
      </c>
      <c r="B42">
        <v>57</v>
      </c>
      <c r="C42">
        <v>-1</v>
      </c>
      <c r="D42">
        <v>0</v>
      </c>
      <c r="E42">
        <v>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1</v>
      </c>
    </row>
    <row r="43" spans="1:17" hidden="1" x14ac:dyDescent="0.3">
      <c r="A43">
        <v>2015</v>
      </c>
      <c r="B43">
        <v>71</v>
      </c>
      <c r="C43">
        <v>-1</v>
      </c>
      <c r="D43">
        <v>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1</v>
      </c>
    </row>
    <row r="44" spans="1:17" x14ac:dyDescent="0.3">
      <c r="A44">
        <v>2015</v>
      </c>
      <c r="B44">
        <v>81</v>
      </c>
      <c r="C44">
        <v>1</v>
      </c>
      <c r="D44">
        <v>1</v>
      </c>
      <c r="E44">
        <v>1</v>
      </c>
      <c r="F44">
        <v>-1</v>
      </c>
      <c r="G44">
        <v>1</v>
      </c>
      <c r="H44">
        <v>-1</v>
      </c>
      <c r="I44">
        <v>0</v>
      </c>
      <c r="J44">
        <v>1</v>
      </c>
      <c r="K44">
        <v>0</v>
      </c>
      <c r="P44">
        <f>IF(J44=I44,0,IF(-J44=I44,-J44,IF(J44+I44=-1,0.5+I44,I44-J44)))</f>
        <v>-1</v>
      </c>
      <c r="Q44">
        <f>IF(I44=F44,0,IF(-I44=F44,-I44,IF(I44+F44=-1,0.5+F44,F44-I44)))</f>
        <v>-0.5</v>
      </c>
    </row>
    <row r="45" spans="1:17" hidden="1" x14ac:dyDescent="0.3">
      <c r="A45">
        <v>2015</v>
      </c>
      <c r="B45">
        <v>95</v>
      </c>
      <c r="C45">
        <v>-1</v>
      </c>
      <c r="D45">
        <v>0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0</v>
      </c>
    </row>
    <row r="46" spans="1:17" x14ac:dyDescent="0.3">
      <c r="A46">
        <v>2015</v>
      </c>
      <c r="B46">
        <v>107</v>
      </c>
      <c r="C46">
        <v>1</v>
      </c>
      <c r="D46">
        <v>1</v>
      </c>
      <c r="E46">
        <v>1</v>
      </c>
      <c r="F46">
        <v>-1</v>
      </c>
      <c r="G46">
        <v>-1</v>
      </c>
      <c r="H46">
        <v>-1</v>
      </c>
      <c r="I46">
        <v>1</v>
      </c>
      <c r="J46">
        <v>1</v>
      </c>
      <c r="K46">
        <v>0</v>
      </c>
      <c r="P46">
        <f t="shared" ref="P46:P48" si="2">IF(J46=I46,0,IF(-J46=I46,-J46,IF(J46+I46=-1,0.5+I46,I46-J46)))</f>
        <v>0</v>
      </c>
      <c r="Q46">
        <f t="shared" ref="Q46:Q48" si="3">IF(I46=F46,0,IF(-I46=F46,-I46,IF(I46+F46=-1,0.5+F46,F46-I46)))</f>
        <v>-1</v>
      </c>
    </row>
    <row r="47" spans="1:17" x14ac:dyDescent="0.3">
      <c r="A47">
        <v>2015</v>
      </c>
      <c r="B47">
        <v>119</v>
      </c>
      <c r="C47">
        <v>1</v>
      </c>
      <c r="D47">
        <v>1</v>
      </c>
      <c r="E47">
        <v>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0</v>
      </c>
      <c r="P47">
        <f t="shared" si="2"/>
        <v>0</v>
      </c>
      <c r="Q47">
        <f t="shared" si="3"/>
        <v>0</v>
      </c>
    </row>
    <row r="48" spans="1:17" x14ac:dyDescent="0.3">
      <c r="A48">
        <v>2015</v>
      </c>
      <c r="B48">
        <v>131</v>
      </c>
      <c r="C48">
        <v>1</v>
      </c>
      <c r="D48">
        <v>1</v>
      </c>
      <c r="E48">
        <v>1</v>
      </c>
      <c r="F48">
        <v>-1</v>
      </c>
      <c r="G48">
        <v>1</v>
      </c>
      <c r="H48">
        <v>-1</v>
      </c>
      <c r="I48">
        <v>-1</v>
      </c>
      <c r="J48">
        <v>-1</v>
      </c>
      <c r="K48">
        <v>0</v>
      </c>
      <c r="P48">
        <f t="shared" si="2"/>
        <v>0</v>
      </c>
      <c r="Q48">
        <f t="shared" si="3"/>
        <v>0</v>
      </c>
    </row>
    <row r="49" spans="1:17" hidden="1" x14ac:dyDescent="0.3">
      <c r="A49">
        <v>2015</v>
      </c>
      <c r="B49">
        <v>145</v>
      </c>
      <c r="C49">
        <v>1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0</v>
      </c>
    </row>
    <row r="50" spans="1:17" x14ac:dyDescent="0.3">
      <c r="A50">
        <v>2015</v>
      </c>
      <c r="B50">
        <v>157</v>
      </c>
      <c r="C50">
        <v>1</v>
      </c>
      <c r="D50">
        <v>1</v>
      </c>
      <c r="E50">
        <v>0</v>
      </c>
      <c r="F50">
        <v>1</v>
      </c>
      <c r="G50">
        <v>0</v>
      </c>
      <c r="H50">
        <v>-1</v>
      </c>
      <c r="I50">
        <v>-1</v>
      </c>
      <c r="J50">
        <v>-1</v>
      </c>
      <c r="K50">
        <v>0</v>
      </c>
      <c r="P50">
        <f>IF(J50=I50,0,IF(-J50=I50,-J50,IF(J50+I50=-1,0.5+I50,I50-J50)))</f>
        <v>0</v>
      </c>
      <c r="Q50">
        <f>IF(I50=F50,0,IF(-I50=F50,-I50,IF(I50+F50=-1,0.5+F50,F50-I50)))</f>
        <v>1</v>
      </c>
    </row>
    <row r="51" spans="1:17" hidden="1" x14ac:dyDescent="0.3">
      <c r="A51">
        <v>2015</v>
      </c>
      <c r="B51">
        <v>169</v>
      </c>
      <c r="C51">
        <v>-1</v>
      </c>
      <c r="D51">
        <v>1</v>
      </c>
      <c r="E51">
        <v>0</v>
      </c>
      <c r="F51">
        <v>-1</v>
      </c>
      <c r="G51">
        <v>1</v>
      </c>
      <c r="H51">
        <v>-1</v>
      </c>
      <c r="I51">
        <v>1</v>
      </c>
      <c r="J51">
        <v>-1</v>
      </c>
      <c r="K51">
        <v>0</v>
      </c>
    </row>
    <row r="52" spans="1:17" x14ac:dyDescent="0.3">
      <c r="A52">
        <v>2015</v>
      </c>
      <c r="B52">
        <v>183</v>
      </c>
      <c r="C52">
        <v>1</v>
      </c>
      <c r="D52">
        <v>1</v>
      </c>
      <c r="E52">
        <v>1</v>
      </c>
      <c r="F52">
        <v>-1</v>
      </c>
      <c r="G52">
        <v>1</v>
      </c>
      <c r="H52">
        <v>-1</v>
      </c>
      <c r="I52">
        <v>-1</v>
      </c>
      <c r="J52">
        <v>-1</v>
      </c>
      <c r="K52">
        <v>0</v>
      </c>
      <c r="P52">
        <f>IF(J52=I52,0,IF(-J52=I52,-J52,IF(J52+I52=-1,0.5+I52,I52-J52)))</f>
        <v>0</v>
      </c>
      <c r="Q52">
        <f>IF(I52=F52,0,IF(-I52=F52,-I52,IF(I52+F52=-1,0.5+F52,F52-I52)))</f>
        <v>0</v>
      </c>
    </row>
    <row r="53" spans="1:17" hidden="1" x14ac:dyDescent="0.3">
      <c r="A53">
        <v>2015</v>
      </c>
      <c r="B53">
        <v>195</v>
      </c>
      <c r="C53">
        <v>1</v>
      </c>
      <c r="D53">
        <v>-1</v>
      </c>
      <c r="E53">
        <v>1</v>
      </c>
      <c r="F53">
        <v>0</v>
      </c>
      <c r="G53">
        <v>-1</v>
      </c>
      <c r="H53">
        <v>-1</v>
      </c>
      <c r="I53">
        <v>-1</v>
      </c>
      <c r="J53">
        <v>-1</v>
      </c>
      <c r="K53">
        <v>0</v>
      </c>
    </row>
    <row r="54" spans="1:17" hidden="1" x14ac:dyDescent="0.3">
      <c r="A54">
        <v>2015</v>
      </c>
      <c r="B54">
        <v>209</v>
      </c>
      <c r="C54">
        <v>1</v>
      </c>
      <c r="D54">
        <v>-1</v>
      </c>
      <c r="E54">
        <v>1</v>
      </c>
      <c r="F54">
        <v>1</v>
      </c>
      <c r="G54">
        <v>1</v>
      </c>
      <c r="H54">
        <v>1</v>
      </c>
      <c r="I54">
        <v>-1</v>
      </c>
      <c r="J54">
        <v>-1</v>
      </c>
      <c r="K54">
        <v>0</v>
      </c>
    </row>
    <row r="55" spans="1:17" hidden="1" x14ac:dyDescent="0.3">
      <c r="A55">
        <v>2015</v>
      </c>
      <c r="B55">
        <v>219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</row>
    <row r="56" spans="1:17" hidden="1" x14ac:dyDescent="0.3">
      <c r="A56">
        <v>2015</v>
      </c>
      <c r="B56">
        <v>227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</row>
    <row r="57" spans="1:17" hidden="1" x14ac:dyDescent="0.3">
      <c r="A57">
        <v>2015</v>
      </c>
      <c r="B57">
        <v>233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</row>
    <row r="58" spans="1:17" x14ac:dyDescent="0.3">
      <c r="A58">
        <v>2015</v>
      </c>
      <c r="B58">
        <v>241</v>
      </c>
      <c r="C58">
        <v>1</v>
      </c>
      <c r="D58">
        <v>1</v>
      </c>
      <c r="E58">
        <v>1</v>
      </c>
      <c r="F58">
        <v>0</v>
      </c>
      <c r="G58">
        <v>0</v>
      </c>
      <c r="H58">
        <v>-1</v>
      </c>
      <c r="I58">
        <v>-1</v>
      </c>
      <c r="J58">
        <v>-1</v>
      </c>
      <c r="K58">
        <v>-1</v>
      </c>
      <c r="P58">
        <f>IF(J58=I58,0,IF(-J58=I58,-J58,IF(J58+I58=-1,0.5+I58,I58-J58)))</f>
        <v>0</v>
      </c>
      <c r="Q58">
        <f>IF(I58=F58,0,IF(-I58=F58,-I58,IF(I58+F58=-1,0.5+F58,F58-I58)))</f>
        <v>0.5</v>
      </c>
    </row>
    <row r="59" spans="1:17" hidden="1" x14ac:dyDescent="0.3">
      <c r="A59">
        <v>2015</v>
      </c>
      <c r="B59">
        <v>253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</row>
    <row r="60" spans="1:17" x14ac:dyDescent="0.3">
      <c r="A60">
        <v>2015</v>
      </c>
      <c r="B60">
        <v>265</v>
      </c>
      <c r="C60">
        <v>1</v>
      </c>
      <c r="D60">
        <v>1</v>
      </c>
      <c r="E60">
        <v>1</v>
      </c>
      <c r="F60">
        <v>-1</v>
      </c>
      <c r="G60">
        <v>1</v>
      </c>
      <c r="H60">
        <v>-1</v>
      </c>
      <c r="I60">
        <v>-1</v>
      </c>
      <c r="J60">
        <v>-1</v>
      </c>
      <c r="K60">
        <v>0</v>
      </c>
      <c r="P60">
        <f t="shared" ref="P60:P61" si="4">IF(J60=I60,0,IF(-J60=I60,-J60,IF(J60+I60=-1,0.5+I60,I60-J60)))</f>
        <v>0</v>
      </c>
      <c r="Q60">
        <f t="shared" ref="Q60:Q61" si="5">IF(I60=F60,0,IF(-I60=F60,-I60,IF(I60+F60=-1,0.5+F60,F60-I60)))</f>
        <v>0</v>
      </c>
    </row>
    <row r="61" spans="1:17" x14ac:dyDescent="0.3">
      <c r="A61">
        <v>2015</v>
      </c>
      <c r="B61">
        <v>277</v>
      </c>
      <c r="C61">
        <v>1</v>
      </c>
      <c r="D61">
        <v>1</v>
      </c>
      <c r="E61">
        <v>1</v>
      </c>
      <c r="F61">
        <v>1</v>
      </c>
      <c r="G61">
        <v>1</v>
      </c>
      <c r="H61">
        <v>-1</v>
      </c>
      <c r="I61">
        <v>-1</v>
      </c>
      <c r="J61">
        <v>-1</v>
      </c>
      <c r="K61">
        <v>0</v>
      </c>
      <c r="P61">
        <f t="shared" si="4"/>
        <v>0</v>
      </c>
      <c r="Q61">
        <f t="shared" si="5"/>
        <v>1</v>
      </c>
    </row>
    <row r="62" spans="1:17" hidden="1" x14ac:dyDescent="0.3">
      <c r="A62">
        <v>2015</v>
      </c>
      <c r="B62">
        <v>291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0</v>
      </c>
    </row>
    <row r="63" spans="1:17" x14ac:dyDescent="0.3">
      <c r="A63">
        <v>2016</v>
      </c>
      <c r="B63">
        <v>23</v>
      </c>
      <c r="C63">
        <v>1</v>
      </c>
      <c r="D63">
        <v>1</v>
      </c>
      <c r="E63">
        <v>1</v>
      </c>
      <c r="F63">
        <v>-1</v>
      </c>
      <c r="G63">
        <v>1</v>
      </c>
      <c r="H63">
        <v>-1</v>
      </c>
      <c r="I63">
        <v>0</v>
      </c>
      <c r="J63">
        <v>-1</v>
      </c>
      <c r="K63">
        <v>0</v>
      </c>
      <c r="P63">
        <f t="shared" ref="P63:P64" si="6">IF(J63=I63,0,IF(-J63=I63,-J63,IF(J63+I63=-1,0.5+I63,I63-J63)))</f>
        <v>0.5</v>
      </c>
      <c r="Q63">
        <f t="shared" ref="Q63:Q64" si="7">IF(I63=F63,0,IF(-I63=F63,-I63,IF(I63+F63=-1,0.5+F63,F63-I63)))</f>
        <v>-0.5</v>
      </c>
    </row>
    <row r="64" spans="1:17" x14ac:dyDescent="0.3">
      <c r="A64">
        <v>2016</v>
      </c>
      <c r="B64">
        <v>35</v>
      </c>
      <c r="C64">
        <v>1</v>
      </c>
      <c r="D64">
        <v>1</v>
      </c>
      <c r="E64">
        <v>1</v>
      </c>
      <c r="F64">
        <v>-1</v>
      </c>
      <c r="G64">
        <v>1</v>
      </c>
      <c r="H64">
        <v>-1</v>
      </c>
      <c r="I64">
        <v>1</v>
      </c>
      <c r="J64">
        <v>1</v>
      </c>
      <c r="K64">
        <v>0</v>
      </c>
      <c r="P64">
        <f t="shared" si="6"/>
        <v>0</v>
      </c>
      <c r="Q64">
        <f t="shared" si="7"/>
        <v>-1</v>
      </c>
    </row>
    <row r="65" spans="1:17" hidden="1" x14ac:dyDescent="0.3">
      <c r="A65">
        <v>2016</v>
      </c>
      <c r="B65">
        <v>47</v>
      </c>
      <c r="C65">
        <v>1</v>
      </c>
      <c r="D65">
        <v>-1</v>
      </c>
      <c r="E65">
        <v>1</v>
      </c>
      <c r="F65">
        <v>-1</v>
      </c>
      <c r="G65">
        <v>1</v>
      </c>
      <c r="H65">
        <v>0</v>
      </c>
      <c r="I65">
        <v>-1</v>
      </c>
      <c r="J65">
        <v>-1</v>
      </c>
      <c r="K65">
        <v>1</v>
      </c>
    </row>
    <row r="66" spans="1:17" x14ac:dyDescent="0.3">
      <c r="A66">
        <v>2016</v>
      </c>
      <c r="B66">
        <v>59</v>
      </c>
      <c r="C66">
        <v>1</v>
      </c>
      <c r="D66">
        <v>1</v>
      </c>
      <c r="E66">
        <v>1</v>
      </c>
      <c r="F66">
        <v>-1</v>
      </c>
      <c r="G66">
        <v>1</v>
      </c>
      <c r="H66">
        <v>-1</v>
      </c>
      <c r="I66">
        <v>0</v>
      </c>
      <c r="J66">
        <v>1</v>
      </c>
      <c r="K66">
        <v>-1</v>
      </c>
      <c r="P66">
        <f>IF(J66=I66,0,IF(-J66=I66,-J66,IF(J66+I66=-1,0.5+I66,I66-J66)))</f>
        <v>-1</v>
      </c>
      <c r="Q66">
        <f>IF(I66=F66,0,IF(-I66=F66,-I66,IF(I66+F66=-1,0.5+F66,F66-I66)))</f>
        <v>-0.5</v>
      </c>
    </row>
    <row r="67" spans="1:17" hidden="1" x14ac:dyDescent="0.3">
      <c r="A67">
        <v>2016</v>
      </c>
      <c r="B67">
        <v>71</v>
      </c>
      <c r="C67">
        <v>1</v>
      </c>
      <c r="D67">
        <v>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</row>
    <row r="68" spans="1:17" x14ac:dyDescent="0.3">
      <c r="A68">
        <v>2016</v>
      </c>
      <c r="B68">
        <v>83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0</v>
      </c>
      <c r="P68">
        <f t="shared" ref="P68:P69" si="8">IF(J68=I68,0,IF(-J68=I68,-J68,IF(J68+I68=-1,0.5+I68,I68-J68)))</f>
        <v>-1</v>
      </c>
      <c r="Q68">
        <f t="shared" ref="Q68:Q69" si="9">IF(I68=F68,0,IF(-I68=F68,-I68,IF(I68+F68=-1,0.5+F68,F68-I68)))</f>
        <v>1</v>
      </c>
    </row>
    <row r="69" spans="1:17" x14ac:dyDescent="0.3">
      <c r="A69">
        <v>2016</v>
      </c>
      <c r="B69">
        <v>93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1</v>
      </c>
      <c r="K69">
        <v>0</v>
      </c>
      <c r="P69">
        <f t="shared" si="8"/>
        <v>-1</v>
      </c>
      <c r="Q69">
        <f t="shared" si="9"/>
        <v>1</v>
      </c>
    </row>
    <row r="70" spans="1:17" hidden="1" x14ac:dyDescent="0.3">
      <c r="A70">
        <v>2016</v>
      </c>
      <c r="B70">
        <v>95</v>
      </c>
      <c r="C70">
        <v>-1</v>
      </c>
      <c r="D70">
        <v>1</v>
      </c>
      <c r="E70">
        <v>1</v>
      </c>
      <c r="F70">
        <v>-1</v>
      </c>
      <c r="G70">
        <v>-1</v>
      </c>
      <c r="H70">
        <v>-1</v>
      </c>
      <c r="I70">
        <v>0</v>
      </c>
      <c r="J70">
        <v>-1</v>
      </c>
      <c r="K70">
        <v>0</v>
      </c>
    </row>
    <row r="71" spans="1:17" hidden="1" x14ac:dyDescent="0.3">
      <c r="A71">
        <v>2016</v>
      </c>
      <c r="B71">
        <v>107</v>
      </c>
      <c r="C71">
        <v>1</v>
      </c>
      <c r="D71">
        <v>1</v>
      </c>
      <c r="E71">
        <v>1</v>
      </c>
      <c r="F71">
        <v>-1</v>
      </c>
      <c r="G71">
        <v>1</v>
      </c>
      <c r="H71">
        <v>-1</v>
      </c>
      <c r="I71">
        <v>-1</v>
      </c>
      <c r="J71">
        <v>-1</v>
      </c>
      <c r="K71">
        <v>1</v>
      </c>
    </row>
    <row r="72" spans="1:17" hidden="1" x14ac:dyDescent="0.3">
      <c r="A72">
        <v>2016</v>
      </c>
      <c r="B72">
        <v>125</v>
      </c>
      <c r="C72">
        <v>-1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</row>
    <row r="73" spans="1:17" hidden="1" x14ac:dyDescent="0.3">
      <c r="A73">
        <v>2016</v>
      </c>
      <c r="B73">
        <v>137</v>
      </c>
      <c r="C73">
        <v>1</v>
      </c>
      <c r="D73">
        <v>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</row>
    <row r="74" spans="1:17" hidden="1" x14ac:dyDescent="0.3">
      <c r="A74">
        <v>2016</v>
      </c>
      <c r="B74">
        <v>149</v>
      </c>
      <c r="C74">
        <v>-1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</row>
    <row r="75" spans="1:17" x14ac:dyDescent="0.3">
      <c r="A75">
        <v>2016</v>
      </c>
      <c r="B75">
        <v>155</v>
      </c>
      <c r="C75">
        <v>1</v>
      </c>
      <c r="D75">
        <v>1</v>
      </c>
      <c r="E75">
        <v>1</v>
      </c>
      <c r="F75">
        <v>-1</v>
      </c>
      <c r="G75">
        <v>1</v>
      </c>
      <c r="H75">
        <v>-1</v>
      </c>
      <c r="I75">
        <v>0</v>
      </c>
      <c r="J75">
        <v>-1</v>
      </c>
      <c r="K75">
        <v>0</v>
      </c>
      <c r="P75">
        <f>IF(J75=I75,0,IF(-J75=I75,-J75,IF(J75+I75=-1,0.5+I75,I75-J75)))</f>
        <v>0.5</v>
      </c>
      <c r="Q75">
        <f>IF(I75=F75,0,IF(-I75=F75,-I75,IF(I75+F75=-1,0.5+F75,F75-I75)))</f>
        <v>-0.5</v>
      </c>
    </row>
    <row r="76" spans="1:17" hidden="1" x14ac:dyDescent="0.3">
      <c r="A76">
        <v>2016</v>
      </c>
      <c r="B76">
        <v>167</v>
      </c>
      <c r="C76">
        <v>1</v>
      </c>
      <c r="D76">
        <v>1</v>
      </c>
      <c r="E76">
        <v>-1</v>
      </c>
      <c r="F76">
        <v>-1</v>
      </c>
      <c r="G76">
        <v>1</v>
      </c>
      <c r="H76">
        <v>-1</v>
      </c>
      <c r="I76">
        <v>-1</v>
      </c>
      <c r="J76">
        <v>-1</v>
      </c>
      <c r="K76">
        <v>-1</v>
      </c>
    </row>
    <row r="77" spans="1:17" x14ac:dyDescent="0.3">
      <c r="A77">
        <v>2016</v>
      </c>
      <c r="B77">
        <v>179</v>
      </c>
      <c r="C77">
        <v>1</v>
      </c>
      <c r="D77">
        <v>1</v>
      </c>
      <c r="E77">
        <v>1</v>
      </c>
      <c r="F77">
        <v>1</v>
      </c>
      <c r="G77">
        <v>1</v>
      </c>
      <c r="H77">
        <v>-1</v>
      </c>
      <c r="I77">
        <v>1</v>
      </c>
      <c r="J77">
        <v>-1</v>
      </c>
      <c r="K77">
        <v>0</v>
      </c>
      <c r="P77">
        <f t="shared" ref="P77:P79" si="10">IF(J77=I77,0,IF(-J77=I77,-J77,IF(J77+I77=-1,0.5+I77,I77-J77)))</f>
        <v>1</v>
      </c>
      <c r="Q77">
        <f t="shared" ref="Q77:Q79" si="11">IF(I77=F77,0,IF(-I77=F77,-I77,IF(I77+F77=-1,0.5+F77,F77-I77)))</f>
        <v>0</v>
      </c>
    </row>
    <row r="78" spans="1:17" x14ac:dyDescent="0.3">
      <c r="A78">
        <v>2016</v>
      </c>
      <c r="B78">
        <v>192</v>
      </c>
      <c r="C78">
        <v>1</v>
      </c>
      <c r="D78">
        <v>1</v>
      </c>
      <c r="E78">
        <v>1</v>
      </c>
      <c r="F78">
        <v>-1</v>
      </c>
      <c r="G78">
        <v>1</v>
      </c>
      <c r="H78">
        <v>-1</v>
      </c>
      <c r="I78">
        <v>-1</v>
      </c>
      <c r="J78">
        <v>1</v>
      </c>
      <c r="K78">
        <v>0</v>
      </c>
      <c r="P78">
        <f t="shared" si="10"/>
        <v>-1</v>
      </c>
      <c r="Q78">
        <f t="shared" si="11"/>
        <v>0</v>
      </c>
    </row>
    <row r="79" spans="1:17" x14ac:dyDescent="0.3">
      <c r="A79">
        <v>2016</v>
      </c>
      <c r="B79">
        <v>203</v>
      </c>
      <c r="C79">
        <v>1</v>
      </c>
      <c r="D79">
        <v>1</v>
      </c>
      <c r="E79">
        <v>1</v>
      </c>
      <c r="F79">
        <v>-1</v>
      </c>
      <c r="G79">
        <v>-1</v>
      </c>
      <c r="H79">
        <v>-1</v>
      </c>
      <c r="I79">
        <v>-1</v>
      </c>
      <c r="J79">
        <v>0</v>
      </c>
      <c r="K79">
        <v>0</v>
      </c>
      <c r="P79">
        <f t="shared" si="10"/>
        <v>-0.5</v>
      </c>
      <c r="Q79">
        <f t="shared" si="11"/>
        <v>0</v>
      </c>
    </row>
    <row r="80" spans="1:17" hidden="1" x14ac:dyDescent="0.3">
      <c r="A80">
        <v>2016</v>
      </c>
      <c r="B80">
        <v>215</v>
      </c>
      <c r="C80">
        <v>-1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</row>
    <row r="81" spans="1:17" hidden="1" x14ac:dyDescent="0.3">
      <c r="A81">
        <v>2016</v>
      </c>
      <c r="B81">
        <v>221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</row>
    <row r="82" spans="1:17" x14ac:dyDescent="0.3">
      <c r="A82">
        <v>2016</v>
      </c>
      <c r="B82">
        <v>233</v>
      </c>
      <c r="C82">
        <v>1</v>
      </c>
      <c r="D82">
        <v>1</v>
      </c>
      <c r="E82">
        <v>1</v>
      </c>
      <c r="F82">
        <v>-1</v>
      </c>
      <c r="G82">
        <v>-1</v>
      </c>
      <c r="H82">
        <v>-1</v>
      </c>
      <c r="I82">
        <v>-1</v>
      </c>
      <c r="J82">
        <v>1</v>
      </c>
      <c r="K82">
        <v>0</v>
      </c>
      <c r="P82">
        <f>IF(J82=I82,0,IF(-J82=I82,-J82,IF(J82+I82=-1,0.5+I82,I82-J82)))</f>
        <v>-1</v>
      </c>
      <c r="Q82">
        <f>IF(I82=F82,0,IF(-I82=F82,-I82,IF(I82+F82=-1,0.5+F82,F82-I82)))</f>
        <v>0</v>
      </c>
    </row>
    <row r="83" spans="1:17" hidden="1" x14ac:dyDescent="0.3">
      <c r="A83">
        <v>2016</v>
      </c>
      <c r="B83">
        <v>245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</row>
    <row r="84" spans="1:17" x14ac:dyDescent="0.3">
      <c r="A84">
        <v>2016</v>
      </c>
      <c r="B84">
        <v>257</v>
      </c>
      <c r="C84">
        <v>1</v>
      </c>
      <c r="D84">
        <v>1</v>
      </c>
      <c r="E84">
        <v>1</v>
      </c>
      <c r="F84">
        <v>-1</v>
      </c>
      <c r="G84">
        <v>1</v>
      </c>
      <c r="H84">
        <v>-1</v>
      </c>
      <c r="I84">
        <v>-1</v>
      </c>
      <c r="J84">
        <v>-1</v>
      </c>
      <c r="K84">
        <v>0</v>
      </c>
      <c r="P84">
        <f>IF(J84=I84,0,IF(-J84=I84,-J84,IF(J84+I84=-1,0.5+I84,I84-J84)))</f>
        <v>0</v>
      </c>
      <c r="Q84">
        <f>IF(I84=F84,0,IF(-I84=F84,-I84,IF(I84+F84=-1,0.5+F84,F84-I84)))</f>
        <v>0</v>
      </c>
    </row>
  </sheetData>
  <autoFilter ref="A1:O84">
    <filterColumn colId="2">
      <filters>
        <filter val="1"/>
      </filters>
    </filterColumn>
    <filterColumn colId="3">
      <filters>
        <filter val="1"/>
      </filters>
    </filterColumn>
    <filterColumn colId="4">
      <filters>
        <filter val="0"/>
        <filter val="1"/>
      </filters>
    </filterColumn>
    <filterColumn colId="10">
      <filters>
        <filter val="-1"/>
        <filter val="0"/>
      </filters>
    </filterColumn>
  </autoFilter>
  <pageMargins left="0.7" right="0.7" top="0.78740157499999996" bottom="0.78740157499999996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dehne</dc:creator>
  <cp:lastModifiedBy>dehne</cp:lastModifiedBy>
  <dcterms:created xsi:type="dcterms:W3CDTF">2017-03-13T12:19:11Z</dcterms:created>
  <dcterms:modified xsi:type="dcterms:W3CDTF">2017-03-23T12:56:22Z</dcterms:modified>
</cp:coreProperties>
</file>